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zihao/Desktop/论文/毕业论文/result/clustered/Oteglobe.graphml_clustered/"/>
    </mc:Choice>
  </mc:AlternateContent>
  <xr:revisionPtr revIDLastSave="0" documentId="13_ncr:1_{C6491BBE-0266-2B43-9C82-418CB59DC051}" xr6:coauthVersionLast="47" xr6:coauthVersionMax="47" xr10:uidLastSave="{00000000-0000-0000-0000-000000000000}"/>
  <bookViews>
    <workbookView xWindow="-10480" yWindow="-28300" windowWidth="51200" windowHeight="28300" xr2:uid="{00000000-000D-0000-FFFF-FFFF00000000}"/>
  </bookViews>
  <sheets>
    <sheet name="summary" sheetId="1" r:id="rId1"/>
  </sheets>
  <definedNames>
    <definedName name="_xlchart.v1.0" hidden="1">summary!$H$2:$H$10</definedName>
    <definedName name="_xlchart.v1.1" hidden="1">summary!$A$1</definedName>
    <definedName name="_xlchart.v1.2" hidden="1">summary!$A$2:$A$10</definedName>
    <definedName name="_xlchart.v1.3" hidden="1">summary!$C$1</definedName>
    <definedName name="_xlchart.v1.4" hidden="1">summary!$C$2:$C$10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2" i="1"/>
  <c r="G4" i="1"/>
  <c r="G5" i="1" s="1"/>
  <c r="G6" i="1" s="1"/>
  <c r="G7" i="1" s="1"/>
  <c r="G8" i="1" s="1"/>
  <c r="G10" i="1" s="1"/>
  <c r="G3" i="1"/>
</calcChain>
</file>

<file path=xl/sharedStrings.xml><?xml version="1.0" encoding="utf-8"?>
<sst xmlns="http://schemas.openxmlformats.org/spreadsheetml/2006/main" count="6" uniqueCount="6">
  <si>
    <t>Avg. Hops of Tree with Header</t>
  </si>
  <si>
    <t>Avg. Hops of EDP with Header</t>
  </si>
  <si>
    <t>Avg. Hops of MutipleTree</t>
  </si>
  <si>
    <t>Resilience of Tree with Header</t>
  </si>
  <si>
    <t>Resilience of EDP with Header</t>
  </si>
  <si>
    <t>Resilience of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</si>
</sst>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rgb="FF000000"/>
      <name val="等线"/>
      <family val="4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0" fontId="0" fillId="0" borderId="0" xfId="0" applyNumberFormat="1">
      <alignment vertical="center"/>
    </xf>
    <xf numFmtId="0" fontId="19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clustered-Oteglobe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summary!$A$1</c:f>
              <c:strCache>
                <c:ptCount val="1"/>
                <c:pt idx="0">
                  <c:v>Avg. Hops of Tree with Header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summary!$A$2:$A$10</c:f>
              <c:numCache>
                <c:formatCode>General</c:formatCode>
                <c:ptCount val="9"/>
                <c:pt idx="0">
                  <c:v>7.18</c:v>
                </c:pt>
                <c:pt idx="1">
                  <c:v>6.4950000000000001</c:v>
                </c:pt>
                <c:pt idx="2">
                  <c:v>7.11</c:v>
                </c:pt>
                <c:pt idx="3">
                  <c:v>7.6934673366834101</c:v>
                </c:pt>
                <c:pt idx="4">
                  <c:v>11.503401360544199</c:v>
                </c:pt>
                <c:pt idx="5">
                  <c:v>13.217054263565799</c:v>
                </c:pt>
                <c:pt idx="6">
                  <c:v>14.9054054054054</c:v>
                </c:pt>
                <c:pt idx="7">
                  <c:v>13.6571428571428</c:v>
                </c:pt>
                <c:pt idx="8">
                  <c:v>10.785714285714199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F3-BA41-BCE6-33F2CF35B945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summary!$C$2:$C$10</c:f>
              <c:numCache>
                <c:formatCode>General</c:formatCode>
                <c:ptCount val="9"/>
                <c:pt idx="0">
                  <c:v>7.37</c:v>
                </c:pt>
                <c:pt idx="1">
                  <c:v>6.7</c:v>
                </c:pt>
                <c:pt idx="2">
                  <c:v>7.1550000000000002</c:v>
                </c:pt>
                <c:pt idx="3">
                  <c:v>8.6432160804020093</c:v>
                </c:pt>
                <c:pt idx="4">
                  <c:v>13.6527777777777</c:v>
                </c:pt>
                <c:pt idx="5">
                  <c:v>13.6612903225806</c:v>
                </c:pt>
                <c:pt idx="6">
                  <c:v>13.640625</c:v>
                </c:pt>
                <c:pt idx="7">
                  <c:v>10.272727272727201</c:v>
                </c:pt>
                <c:pt idx="8">
                  <c:v>7.0909090909090899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F3-BA41-BCE6-33F2CF35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clustered-Oteglobe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summary!$D$1</c:f>
              <c:strCache>
                <c:ptCount val="1"/>
                <c:pt idx="0">
                  <c:v>Resilience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summary!$D$2:$D$10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0.73499999999999999</c:v>
                </c:pt>
                <c:pt idx="5">
                  <c:v>0.64500000000000002</c:v>
                </c:pt>
                <c:pt idx="6">
                  <c:v>0.37</c:v>
                </c:pt>
                <c:pt idx="7">
                  <c:v>0.17499999999999999</c:v>
                </c:pt>
                <c:pt idx="8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2-9C47-80D5-586FB1D642EA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BC02-9C47-80D5-586FB1D642EA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C02-9C47-80D5-586FB1D642EA}"/>
              </c:ext>
            </c:extLst>
          </c:dPt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summary!$F$2:$F$10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0.72</c:v>
                </c:pt>
                <c:pt idx="5">
                  <c:v>0.62</c:v>
                </c:pt>
                <c:pt idx="6">
                  <c:v>0.32</c:v>
                </c:pt>
                <c:pt idx="7">
                  <c:v>0.16500000000000001</c:v>
                </c:pt>
                <c:pt idx="8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02-9C47-80D5-586FB1D64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clustered-Oteglobe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Avg. Hops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summary!$B$2:$B$10</c:f>
              <c:numCache>
                <c:formatCode>General</c:formatCode>
                <c:ptCount val="9"/>
                <c:pt idx="0">
                  <c:v>7.18</c:v>
                </c:pt>
                <c:pt idx="1">
                  <c:v>6.49</c:v>
                </c:pt>
                <c:pt idx="2">
                  <c:v>6.88</c:v>
                </c:pt>
                <c:pt idx="3">
                  <c:v>7.3567839195979898</c:v>
                </c:pt>
                <c:pt idx="4">
                  <c:v>11.9645390070921</c:v>
                </c:pt>
                <c:pt idx="5">
                  <c:v>14.1056910569105</c:v>
                </c:pt>
                <c:pt idx="6">
                  <c:v>14.257142857142799</c:v>
                </c:pt>
                <c:pt idx="7">
                  <c:v>14.029411764705801</c:v>
                </c:pt>
                <c:pt idx="8">
                  <c:v>24.571428571428498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3-BA42-85D4-BA7FB392D2AC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summary!$C$2:$C$10</c:f>
              <c:numCache>
                <c:formatCode>General</c:formatCode>
                <c:ptCount val="9"/>
                <c:pt idx="0">
                  <c:v>7.37</c:v>
                </c:pt>
                <c:pt idx="1">
                  <c:v>6.7</c:v>
                </c:pt>
                <c:pt idx="2">
                  <c:v>7.1550000000000002</c:v>
                </c:pt>
                <c:pt idx="3">
                  <c:v>8.6432160804020093</c:v>
                </c:pt>
                <c:pt idx="4">
                  <c:v>13.6527777777777</c:v>
                </c:pt>
                <c:pt idx="5">
                  <c:v>13.6612903225806</c:v>
                </c:pt>
                <c:pt idx="6">
                  <c:v>13.640625</c:v>
                </c:pt>
                <c:pt idx="7">
                  <c:v>10.272727272727201</c:v>
                </c:pt>
                <c:pt idx="8">
                  <c:v>7.0909090909090899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13-BA42-85D4-BA7FB392D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26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clustered-Oteglobe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summary!$E$1</c:f>
              <c:strCache>
                <c:ptCount val="1"/>
                <c:pt idx="0">
                  <c:v>Resilience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summary!$E$2:$E$10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0.70499999999999996</c:v>
                </c:pt>
                <c:pt idx="5">
                  <c:v>0.61499999999999999</c:v>
                </c:pt>
                <c:pt idx="6">
                  <c:v>0.35</c:v>
                </c:pt>
                <c:pt idx="7">
                  <c:v>0.17</c:v>
                </c:pt>
                <c:pt idx="8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83-8D4B-A1CB-7D3349E2A888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summary!$F$2:$F$10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0.72</c:v>
                </c:pt>
                <c:pt idx="5">
                  <c:v>0.62</c:v>
                </c:pt>
                <c:pt idx="6">
                  <c:v>0.32</c:v>
                </c:pt>
                <c:pt idx="7">
                  <c:v>0.16500000000000001</c:v>
                </c:pt>
                <c:pt idx="8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83-8D4B-A1CB-7D3349E2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_xlchart.v1.4</cx:f>
      </cx:numDim>
    </cx:data>
  </cx:chartData>
  <cx:chart>
    <cx:title pos="t" align="ctr" overlay="0">
      <cx:tx>
        <cx:txData>
          <cx:v>clustered-Oteglobe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Calibri" panose="020F0502020204030204"/>
              <a:ea typeface="等线" panose="02010600030101010101" pitchFamily="2" charset="-122"/>
              <a:cs typeface="Calibri" panose="020F0502020204030204" pitchFamily="34" charset="0"/>
            </a:rPr>
            <a:t>clustered-Oteglobe</a:t>
          </a:r>
        </a:p>
      </cx:txPr>
    </cx:title>
    <cx:plotArea>
      <cx:plotAreaRegion>
        <cx:series layoutId="boxWhisker" uniqueId="{ED791F06-8233-6C40-B30D-12E0D3828FAF}">
          <cx:tx>
            <cx:txData>
              <cx:f>_xlchart.v1.1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E672E1A-750F-5A49-9E79-3B3913A4546D}">
          <cx:tx>
            <cx:txData>
              <cx:f>_xlchart.v1.3</cx:f>
              <cx:v>Avg. Hops of MutipleTree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2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clustered-Oteglobe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Calibri" panose="020F0502020204030204"/>
              <a:ea typeface="等线" panose="02010600030101010101" pitchFamily="2" charset="-122"/>
              <a:cs typeface="Calibri" panose="020F0502020204030204" pitchFamily="34" charset="0"/>
            </a:rPr>
            <a:t>clustered-Oteglobe</a:t>
          </a:r>
        </a:p>
      </cx:txPr>
    </cx:title>
    <cx:plotArea>
      <cx:plotAreaRegion>
        <cx:series layoutId="boxWhisker" uniqueId="{9D9C9224-0DAF-1C46-B7CF-98E3BAEF80C5}">
          <cx:dataId val="0"/>
          <cx:layoutPr>
            <cx:visibility nonoutliers="0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353745</xdr:colOff>
      <xdr:row>1</xdr:row>
      <xdr:rowOff>177800</xdr:rowOff>
    </xdr:from>
    <xdr:to>
      <xdr:col>15</xdr:col>
      <xdr:colOff>563295</xdr:colOff>
      <xdr:row>18</xdr:row>
      <xdr:rowOff>76200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C96C3F2-5237-5E4E-AEAB-24681FEAA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385495</xdr:colOff>
      <xdr:row>2</xdr:row>
      <xdr:rowOff>127000</xdr:rowOff>
    </xdr:from>
    <xdr:to>
      <xdr:col>22</xdr:col>
      <xdr:colOff>74345</xdr:colOff>
      <xdr:row>16</xdr:row>
      <xdr:rowOff>127000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FD78FCA-DAD6-9647-9C42-03E1613CF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88900</xdr:colOff>
      <xdr:row>12</xdr:row>
      <xdr:rowOff>25116</xdr:rowOff>
    </xdr:from>
    <xdr:to>
      <xdr:col>6</xdr:col>
      <xdr:colOff>715695</xdr:colOff>
      <xdr:row>26</xdr:row>
      <xdr:rowOff>12700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3">
              <a:extLst>
                <a:ext uri="{FF2B5EF4-FFF2-40B4-BE49-F238E27FC236}">
                  <a16:creationId xmlns:a16="http://schemas.microsoft.com/office/drawing/2014/main" id="{45DFF673-D794-4C4B-823C-7D0D0FAC93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9900" y="2463516"/>
              <a:ext cx="3928795" cy="283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22</xdr:col>
      <xdr:colOff>785545</xdr:colOff>
      <xdr:row>2</xdr:row>
      <xdr:rowOff>171450</xdr:rowOff>
    </xdr:from>
    <xdr:to>
      <xdr:col>28</xdr:col>
      <xdr:colOff>404545</xdr:colOff>
      <xdr:row>16</xdr:row>
      <xdr:rowOff>69850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图表 4">
              <a:extLst>
                <a:ext uri="{FF2B5EF4-FFF2-40B4-BE49-F238E27FC236}">
                  <a16:creationId xmlns:a16="http://schemas.microsoft.com/office/drawing/2014/main" id="{FFB6E22E-BAA7-0F48-9641-485CF7636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46545" y="5778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8</xdr:col>
      <xdr:colOff>114300</xdr:colOff>
      <xdr:row>23</xdr:row>
      <xdr:rowOff>1</xdr:rowOff>
    </xdr:from>
    <xdr:to>
      <xdr:col>15</xdr:col>
      <xdr:colOff>321709</xdr:colOff>
      <xdr:row>39</xdr:row>
      <xdr:rowOff>101600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CABD0A52-26E2-5C42-A162-5291CB55E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56436</xdr:colOff>
      <xdr:row>20</xdr:row>
      <xdr:rowOff>50800</xdr:rowOff>
    </xdr:from>
    <xdr:to>
      <xdr:col>21</xdr:col>
      <xdr:colOff>570786</xdr:colOff>
      <xdr:row>34</xdr:row>
      <xdr:rowOff>50800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7C38E4C6-E7BE-A744-8F82-68C41D59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"/>
  <sheetViews>
    <sheetView tabSelected="1" workbookViewId="0">
      <selection activeCell="AI30" sqref="AI30"/>
    </sheetView>
  </sheetViews>
  <sheetFormatPr baseColWidth="10" defaultRowHeight="16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8">
      <c r="A2">
        <v>7.18</v>
      </c>
      <c r="B2">
        <v>7.18</v>
      </c>
      <c r="C2">
        <v>7.37</v>
      </c>
      <c r="D2" s="1">
        <v>1</v>
      </c>
      <c r="E2" s="1">
        <v>1</v>
      </c>
      <c r="F2" s="1">
        <v>1</v>
      </c>
      <c r="G2">
        <v>0.1</v>
      </c>
      <c r="H2" s="1">
        <f>D2-F2</f>
        <v>0</v>
      </c>
    </row>
    <row r="3" spans="1:8">
      <c r="A3">
        <v>6.4950000000000001</v>
      </c>
      <c r="B3">
        <v>6.49</v>
      </c>
      <c r="C3">
        <v>6.7</v>
      </c>
      <c r="D3" s="1">
        <v>1</v>
      </c>
      <c r="E3" s="1">
        <v>1</v>
      </c>
      <c r="F3" s="1">
        <v>1</v>
      </c>
      <c r="G3">
        <f>G2+0.1</f>
        <v>0.2</v>
      </c>
      <c r="H3" s="1">
        <f t="shared" ref="H3:H10" si="0">D3-F3</f>
        <v>0</v>
      </c>
    </row>
    <row r="4" spans="1:8">
      <c r="A4">
        <v>7.11</v>
      </c>
      <c r="B4">
        <v>6.88</v>
      </c>
      <c r="C4">
        <v>7.1550000000000002</v>
      </c>
      <c r="D4" s="1">
        <v>1</v>
      </c>
      <c r="E4" s="1">
        <v>1</v>
      </c>
      <c r="F4" s="1">
        <v>1</v>
      </c>
      <c r="G4">
        <f t="shared" ref="G4:G10" si="1">G3+0.1</f>
        <v>0.30000000000000004</v>
      </c>
      <c r="H4" s="1">
        <f t="shared" si="0"/>
        <v>0</v>
      </c>
    </row>
    <row r="5" spans="1:8">
      <c r="A5">
        <v>7.6934673366834101</v>
      </c>
      <c r="B5">
        <v>7.3567839195979898</v>
      </c>
      <c r="C5">
        <v>8.6432160804020093</v>
      </c>
      <c r="D5" s="1">
        <v>0.995</v>
      </c>
      <c r="E5" s="1">
        <v>0.995</v>
      </c>
      <c r="F5" s="1">
        <v>0.995</v>
      </c>
      <c r="G5">
        <f t="shared" si="1"/>
        <v>0.4</v>
      </c>
      <c r="H5" s="1">
        <f t="shared" si="0"/>
        <v>0</v>
      </c>
    </row>
    <row r="6" spans="1:8">
      <c r="A6">
        <v>11.503401360544199</v>
      </c>
      <c r="B6">
        <v>11.9645390070921</v>
      </c>
      <c r="C6">
        <v>13.6527777777777</v>
      </c>
      <c r="D6" s="1">
        <v>0.73499999999999999</v>
      </c>
      <c r="E6" s="1">
        <v>0.70499999999999996</v>
      </c>
      <c r="F6" s="1">
        <v>0.72</v>
      </c>
      <c r="G6">
        <f t="shared" si="1"/>
        <v>0.5</v>
      </c>
      <c r="H6" s="1">
        <f t="shared" si="0"/>
        <v>1.5000000000000013E-2</v>
      </c>
    </row>
    <row r="7" spans="1:8">
      <c r="A7">
        <v>13.217054263565799</v>
      </c>
      <c r="B7">
        <v>14.1056910569105</v>
      </c>
      <c r="C7">
        <v>13.6612903225806</v>
      </c>
      <c r="D7" s="1">
        <v>0.64500000000000002</v>
      </c>
      <c r="E7" s="1">
        <v>0.61499999999999999</v>
      </c>
      <c r="F7" s="1">
        <v>0.62</v>
      </c>
      <c r="G7">
        <f t="shared" si="1"/>
        <v>0.6</v>
      </c>
      <c r="H7" s="1">
        <f t="shared" si="0"/>
        <v>2.5000000000000022E-2</v>
      </c>
    </row>
    <row r="8" spans="1:8">
      <c r="A8">
        <v>14.9054054054054</v>
      </c>
      <c r="B8">
        <v>14.257142857142799</v>
      </c>
      <c r="C8">
        <v>13.640625</v>
      </c>
      <c r="D8" s="1">
        <v>0.37</v>
      </c>
      <c r="E8" s="1">
        <v>0.35</v>
      </c>
      <c r="F8" s="1">
        <v>0.32</v>
      </c>
      <c r="G8">
        <f t="shared" si="1"/>
        <v>0.7</v>
      </c>
      <c r="H8" s="1">
        <f t="shared" si="0"/>
        <v>4.9999999999999989E-2</v>
      </c>
    </row>
    <row r="9" spans="1:8">
      <c r="A9">
        <v>13.6571428571428</v>
      </c>
      <c r="B9">
        <v>14.029411764705801</v>
      </c>
      <c r="C9">
        <v>10.272727272727201</v>
      </c>
      <c r="D9" s="1">
        <v>0.17499999999999999</v>
      </c>
      <c r="E9" s="1">
        <v>0.17</v>
      </c>
      <c r="F9" s="1">
        <v>0.16500000000000001</v>
      </c>
      <c r="G9" s="2">
        <v>0.8</v>
      </c>
      <c r="H9" s="1">
        <f t="shared" si="0"/>
        <v>9.9999999999999811E-3</v>
      </c>
    </row>
    <row r="10" spans="1:8">
      <c r="A10">
        <v>10.785714285714199</v>
      </c>
      <c r="B10">
        <v>24.571428571428498</v>
      </c>
      <c r="C10">
        <v>7.0909090909090899</v>
      </c>
      <c r="D10" s="1">
        <v>7.0000000000000007E-2</v>
      </c>
      <c r="E10" s="1">
        <v>7.0000000000000007E-2</v>
      </c>
      <c r="F10" s="1">
        <v>5.5E-2</v>
      </c>
      <c r="G10">
        <f t="shared" si="1"/>
        <v>0.9</v>
      </c>
      <c r="H10" s="1">
        <f t="shared" si="0"/>
        <v>1.5000000000000006E-2</v>
      </c>
    </row>
  </sheetData>
  <phoneticPr fontId="18" type="noConversion"/>
  <pageMargins left="0.75" right="0.75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Zihao Li</dc:creator>
  <cp:lastModifiedBy>Zihao Li</cp:lastModifiedBy>
  <dcterms:created xsi:type="dcterms:W3CDTF">2023-10-02T14:23:51Z</dcterms:created>
  <dcterms:modified xsi:type="dcterms:W3CDTF">2023-10-03T14:53:45Z</dcterms:modified>
</cp:coreProperties>
</file>