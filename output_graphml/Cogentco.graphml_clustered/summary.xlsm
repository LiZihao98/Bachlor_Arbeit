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heme/themeOverride2.xml" ContentType="application/vnd.openxmlformats-officedocument.themeOverride+xml"/>
  <Override PartName="/xl/charts/chartEx1.xml" ContentType="application/vnd.ms-office.chartex+xml"/>
  <Override PartName="/xl/charts/style3.xml" ContentType="application/vnd.ms-office.chartstyle+xml"/>
  <Override PartName="/xl/charts/colors3.xml" ContentType="application/vnd.ms-office.chartcolorstyle+xml"/>
  <Override PartName="/xl/charts/chartEx2.xml" ContentType="application/vnd.ms-office.chartex+xml"/>
  <Override PartName="/xl/charts/style4.xml" ContentType="application/vnd.ms-office.chartstyle+xml"/>
  <Override PartName="/xl/charts/colors4.xml" ContentType="application/vnd.ms-office.chartcolorstyle+xml"/>
  <Override PartName="/xl/charts/chart3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theme/themeOverride4.xml" ContentType="application/vnd.openxmlformats-officedocument.themeOverrid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7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lizihao/Desktop/论文/毕业论文/result/clustered/Cogentco.graphml_clustered/"/>
    </mc:Choice>
  </mc:AlternateContent>
  <xr:revisionPtr revIDLastSave="0" documentId="13_ncr:1_{97C1464F-AC00-BB48-9B8C-8A96BC41F0F0}" xr6:coauthVersionLast="47" xr6:coauthVersionMax="47" xr10:uidLastSave="{00000000-0000-0000-0000-000000000000}"/>
  <bookViews>
    <workbookView xWindow="-10480" yWindow="-28300" windowWidth="51200" windowHeight="28300" xr2:uid="{00000000-000D-0000-FFFF-FFFF00000000}"/>
  </bookViews>
  <sheets>
    <sheet name="summary" sheetId="1" r:id="rId1"/>
  </sheets>
  <definedNames>
    <definedName name="_xlchart.v1.0" hidden="1">summary!$H$2:$H$10</definedName>
    <definedName name="_xlchart.v1.1" hidden="1">summary!$A$1</definedName>
    <definedName name="_xlchart.v1.2" hidden="1">summary!$A$2:$A$10</definedName>
    <definedName name="_xlchart.v1.3" hidden="1">summary!$C$1</definedName>
    <definedName name="_xlchart.v1.4" hidden="1">summary!$C$2:$C$10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3" i="1" l="1"/>
  <c r="H4" i="1"/>
  <c r="H5" i="1"/>
  <c r="H6" i="1"/>
  <c r="H7" i="1"/>
  <c r="H8" i="1"/>
  <c r="H9" i="1"/>
  <c r="H10" i="1"/>
  <c r="H2" i="1"/>
  <c r="G4" i="1"/>
  <c r="G9" i="1" s="1"/>
  <c r="G10" i="1" s="1"/>
  <c r="G3" i="1"/>
</calcChain>
</file>

<file path=xl/sharedStrings.xml><?xml version="1.0" encoding="utf-8"?>
<sst xmlns="http://schemas.openxmlformats.org/spreadsheetml/2006/main" count="6" uniqueCount="6">
  <si>
    <t>Avg. Hops of Tree with Header</t>
  </si>
  <si>
    <t>Avg. Hops of EDP with Header</t>
  </si>
  <si>
    <t>Avg. Hops of MutipleTree</t>
  </si>
  <si>
    <t>Resilience of Tree with Header</t>
  </si>
  <si>
    <t>Resilience of EDP with Header</t>
  </si>
  <si>
    <t>Resilience of Tree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</si>
</sst>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2"/>
      <color theme="1"/>
      <name val="等线"/>
      <family val="2"/>
      <charset val="134"/>
      <scheme val="minor"/>
    </font>
    <font>
      <sz val="12"/>
      <color theme="1"/>
      <name val="等线"/>
      <family val="2"/>
      <charset val="134"/>
      <scheme val="minor"/>
    </font>
    <font>
      <sz val="18"/>
      <color theme="3"/>
      <name val="等线 Light"/>
      <family val="2"/>
      <charset val="134"/>
      <scheme val="major"/>
    </font>
    <font>
      <b/>
      <sz val="15"/>
      <color theme="3"/>
      <name val="等线"/>
      <family val="2"/>
      <charset val="134"/>
      <scheme val="minor"/>
    </font>
    <font>
      <b/>
      <sz val="13"/>
      <color theme="3"/>
      <name val="等线"/>
      <family val="2"/>
      <charset val="134"/>
      <scheme val="minor"/>
    </font>
    <font>
      <b/>
      <sz val="11"/>
      <color theme="3"/>
      <name val="等线"/>
      <family val="2"/>
      <charset val="134"/>
      <scheme val="minor"/>
    </font>
    <font>
      <sz val="12"/>
      <color rgb="FF006100"/>
      <name val="等线"/>
      <family val="2"/>
      <charset val="134"/>
      <scheme val="minor"/>
    </font>
    <font>
      <sz val="12"/>
      <color rgb="FF9C0006"/>
      <name val="等线"/>
      <family val="2"/>
      <charset val="134"/>
      <scheme val="minor"/>
    </font>
    <font>
      <sz val="12"/>
      <color rgb="FF9C5700"/>
      <name val="等线"/>
      <family val="2"/>
      <charset val="134"/>
      <scheme val="minor"/>
    </font>
    <font>
      <sz val="12"/>
      <color rgb="FF3F3F76"/>
      <name val="等线"/>
      <family val="2"/>
      <charset val="134"/>
      <scheme val="minor"/>
    </font>
    <font>
      <b/>
      <sz val="12"/>
      <color rgb="FF3F3F3F"/>
      <name val="等线"/>
      <family val="2"/>
      <charset val="134"/>
      <scheme val="minor"/>
    </font>
    <font>
      <b/>
      <sz val="12"/>
      <color rgb="FFFA7D00"/>
      <name val="等线"/>
      <family val="2"/>
      <charset val="134"/>
      <scheme val="minor"/>
    </font>
    <font>
      <sz val="12"/>
      <color rgb="FFFA7D00"/>
      <name val="等线"/>
      <family val="2"/>
      <charset val="134"/>
      <scheme val="minor"/>
    </font>
    <font>
      <b/>
      <sz val="12"/>
      <color theme="0"/>
      <name val="等线"/>
      <family val="2"/>
      <charset val="134"/>
      <scheme val="minor"/>
    </font>
    <font>
      <sz val="12"/>
      <color rgb="FFFF0000"/>
      <name val="等线"/>
      <family val="2"/>
      <charset val="134"/>
      <scheme val="minor"/>
    </font>
    <font>
      <i/>
      <sz val="12"/>
      <color rgb="FF7F7F7F"/>
      <name val="等线"/>
      <family val="2"/>
      <charset val="134"/>
      <scheme val="minor"/>
    </font>
    <font>
      <b/>
      <sz val="12"/>
      <color theme="1"/>
      <name val="等线"/>
      <family val="2"/>
      <charset val="134"/>
      <scheme val="minor"/>
    </font>
    <font>
      <sz val="12"/>
      <color theme="0"/>
      <name val="等线"/>
      <family val="2"/>
      <charset val="134"/>
      <scheme val="minor"/>
    </font>
    <font>
      <sz val="9"/>
      <name val="等线"/>
      <family val="2"/>
      <charset val="134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</cellStyleXfs>
  <cellXfs count="2">
    <xf numFmtId="0" fontId="0" fillId="0" borderId="0" xfId="0">
      <alignment vertical="center"/>
    </xf>
    <xf numFmtId="10" fontId="0" fillId="0" borderId="0" xfId="0" applyNumberFormat="1">
      <alignment vertical="center"/>
    </xf>
  </cellXfs>
  <cellStyles count="42">
    <cellStyle name="20% - 着色 1" xfId="19" builtinId="30" customBuiltin="1"/>
    <cellStyle name="20% - 着色 2" xfId="23" builtinId="34" customBuiltin="1"/>
    <cellStyle name="20% - 着色 3" xfId="27" builtinId="38" customBuiltin="1"/>
    <cellStyle name="20% - 着色 4" xfId="31" builtinId="42" customBuiltin="1"/>
    <cellStyle name="20% - 着色 5" xfId="35" builtinId="46" customBuiltin="1"/>
    <cellStyle name="20% - 着色 6" xfId="39" builtinId="50" customBuiltin="1"/>
    <cellStyle name="40% - 着色 1" xfId="20" builtinId="31" customBuiltin="1"/>
    <cellStyle name="40% - 着色 2" xfId="24" builtinId="35" customBuiltin="1"/>
    <cellStyle name="40% - 着色 3" xfId="28" builtinId="39" customBuiltin="1"/>
    <cellStyle name="40% - 着色 4" xfId="32" builtinId="43" customBuiltin="1"/>
    <cellStyle name="40% - 着色 5" xfId="36" builtinId="47" customBuiltin="1"/>
    <cellStyle name="40% - 着色 6" xfId="40" builtinId="51" customBuiltin="1"/>
    <cellStyle name="60% - 着色 1" xfId="21" builtinId="32" customBuiltin="1"/>
    <cellStyle name="60% - 着色 2" xfId="25" builtinId="36" customBuiltin="1"/>
    <cellStyle name="60% - 着色 3" xfId="29" builtinId="40" customBuiltin="1"/>
    <cellStyle name="60% - 着色 4" xfId="33" builtinId="44" customBuiltin="1"/>
    <cellStyle name="60% - 着色 5" xfId="37" builtinId="48" customBuiltin="1"/>
    <cellStyle name="60% - 着色 6" xfId="41" builtinId="52" customBuiltin="1"/>
    <cellStyle name="标题" xfId="1" builtinId="15" customBuiltin="1"/>
    <cellStyle name="标题 1" xfId="2" builtinId="16" customBuiltin="1"/>
    <cellStyle name="标题 2" xfId="3" builtinId="17" customBuiltin="1"/>
    <cellStyle name="标题 3" xfId="4" builtinId="18" customBuiltin="1"/>
    <cellStyle name="标题 4" xfId="5" builtinId="19" customBuiltin="1"/>
    <cellStyle name="差" xfId="7" builtinId="27" customBuiltin="1"/>
    <cellStyle name="常规" xfId="0" builtinId="0"/>
    <cellStyle name="好" xfId="6" builtinId="26" customBuiltin="1"/>
    <cellStyle name="汇总" xfId="17" builtinId="25" customBuiltin="1"/>
    <cellStyle name="计算" xfId="11" builtinId="22" customBuiltin="1"/>
    <cellStyle name="检查单元格" xfId="13" builtinId="23" customBuiltin="1"/>
    <cellStyle name="解释性文本" xfId="16" builtinId="53" customBuiltin="1"/>
    <cellStyle name="警告文本" xfId="14" builtinId="11" customBuiltin="1"/>
    <cellStyle name="链接单元格" xfId="12" builtinId="24" customBuiltin="1"/>
    <cellStyle name="适中" xfId="8" builtinId="28" customBuiltin="1"/>
    <cellStyle name="输出" xfId="10" builtinId="21" customBuiltin="1"/>
    <cellStyle name="输入" xfId="9" builtinId="20" customBuiltin="1"/>
    <cellStyle name="着色 1" xfId="18" builtinId="29" customBuiltin="1"/>
    <cellStyle name="着色 2" xfId="22" builtinId="33" customBuiltin="1"/>
    <cellStyle name="着色 3" xfId="26" builtinId="37" customBuiltin="1"/>
    <cellStyle name="着色 4" xfId="30" builtinId="41" customBuiltin="1"/>
    <cellStyle name="着色 5" xfId="34" builtinId="45" customBuiltin="1"/>
    <cellStyle name="着色 6" xfId="38" builtinId="49" customBuiltin="1"/>
    <cellStyle name="注释" xfId="15" builtinId="10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clustered-Cogentco</a:t>
            </a:r>
            <a:endParaRPr lang="zh-CN" altLang="en-US"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summary!$A$1</c:f>
              <c:strCache>
                <c:ptCount val="1"/>
                <c:pt idx="0">
                  <c:v>Avg. Hops of Tree with Header</c:v>
                </c:pt>
              </c:strCache>
            </c:strRef>
          </c:tx>
          <c:spPr>
            <a:ln w="28575" cap="rnd">
              <a:solidFill>
                <a:srgbClr val="0070C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summary!$G$2:$G$10</c:f>
              <c:numCache>
                <c:formatCode>General</c:formatCode>
                <c:ptCount val="9"/>
                <c:pt idx="0">
                  <c:v>0.1</c:v>
                </c:pt>
                <c:pt idx="1">
                  <c:v>0.2</c:v>
                </c:pt>
                <c:pt idx="2">
                  <c:v>0.30000000000000004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0.79999999999999993</c:v>
                </c:pt>
                <c:pt idx="8">
                  <c:v>0.89999999999999991</c:v>
                </c:pt>
              </c:numCache>
            </c:numRef>
          </c:cat>
          <c:val>
            <c:numRef>
              <c:f>summary!$A$2:$A$10</c:f>
              <c:numCache>
                <c:formatCode>General</c:formatCode>
                <c:ptCount val="9"/>
                <c:pt idx="0">
                  <c:v>10.295</c:v>
                </c:pt>
                <c:pt idx="1">
                  <c:v>10.64</c:v>
                </c:pt>
                <c:pt idx="2">
                  <c:v>10.355</c:v>
                </c:pt>
                <c:pt idx="3">
                  <c:v>11.67</c:v>
                </c:pt>
                <c:pt idx="4">
                  <c:v>14.4615384615384</c:v>
                </c:pt>
                <c:pt idx="5">
                  <c:v>15.9714285714285</c:v>
                </c:pt>
                <c:pt idx="6">
                  <c:v>35.827956989247298</c:v>
                </c:pt>
                <c:pt idx="7">
                  <c:v>24.870967741935399</c:v>
                </c:pt>
                <c:pt idx="8">
                  <c:v>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0F-1447-83F7-676932AAEE76}"/>
            </c:ext>
          </c:extLst>
        </c:ser>
        <c:ser>
          <c:idx val="1"/>
          <c:order val="1"/>
          <c:tx>
            <c:strRef>
              <c:f>summary!$C$1</c:f>
              <c:strCache>
                <c:ptCount val="1"/>
                <c:pt idx="0">
                  <c:v>Avg. Hops of MutipleTree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summary!$G$2:$G$10</c:f>
              <c:numCache>
                <c:formatCode>General</c:formatCode>
                <c:ptCount val="9"/>
                <c:pt idx="0">
                  <c:v>0.1</c:v>
                </c:pt>
                <c:pt idx="1">
                  <c:v>0.2</c:v>
                </c:pt>
                <c:pt idx="2">
                  <c:v>0.30000000000000004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0.79999999999999993</c:v>
                </c:pt>
                <c:pt idx="8">
                  <c:v>0.89999999999999991</c:v>
                </c:pt>
              </c:numCache>
            </c:numRef>
          </c:cat>
          <c:val>
            <c:numRef>
              <c:f>summary!$C$2:$C$10</c:f>
              <c:numCache>
                <c:formatCode>General</c:formatCode>
                <c:ptCount val="9"/>
                <c:pt idx="0">
                  <c:v>10.845000000000001</c:v>
                </c:pt>
                <c:pt idx="1">
                  <c:v>11.234999999999999</c:v>
                </c:pt>
                <c:pt idx="2">
                  <c:v>10.945</c:v>
                </c:pt>
                <c:pt idx="3">
                  <c:v>13.658291457286399</c:v>
                </c:pt>
                <c:pt idx="4">
                  <c:v>18.777108433734899</c:v>
                </c:pt>
                <c:pt idx="5">
                  <c:v>22.637037037037</c:v>
                </c:pt>
                <c:pt idx="6">
                  <c:v>22.421686746987898</c:v>
                </c:pt>
                <c:pt idx="7">
                  <c:v>25.038461538461501</c:v>
                </c:pt>
                <c:pt idx="8">
                  <c:v>31.6666666666666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90F-1447-83F7-676932AAEE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15445007"/>
        <c:axId val="2115446735"/>
      </c:lineChart>
      <c:catAx>
        <c:axId val="211544500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 sz="1400"/>
                  <a:t>Failure</a:t>
                </a:r>
                <a:r>
                  <a:rPr lang="en-US" altLang="zh-CN" sz="1400" baseline="0"/>
                  <a:t> Rate</a:t>
                </a:r>
                <a:endParaRPr lang="zh-CN" altLang="en-US" sz="14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115446735"/>
        <c:crosses val="autoZero"/>
        <c:auto val="1"/>
        <c:lblAlgn val="ctr"/>
        <c:lblOffset val="100"/>
        <c:noMultiLvlLbl val="0"/>
      </c:catAx>
      <c:valAx>
        <c:axId val="2115446735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 sz="1400"/>
                  <a:t>Avg.</a:t>
                </a:r>
                <a:r>
                  <a:rPr lang="en-US" altLang="zh-CN" sz="1400" baseline="0"/>
                  <a:t> Hops</a:t>
                </a:r>
                <a:endParaRPr lang="zh-CN" altLang="en-US" sz="14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115445007"/>
        <c:crosses val="autoZero"/>
        <c:crossBetween val="between"/>
        <c:majorUnit val="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altLang="zh-CN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clustered-Cogentco</a:t>
            </a:r>
            <a:endParaRPr lang="zh-CN" altLang="en-US"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summary!$D$1</c:f>
              <c:strCache>
                <c:ptCount val="1"/>
                <c:pt idx="0">
                  <c:v>Resilience of Tree with Header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summary!$G$2:$G$10</c:f>
              <c:numCache>
                <c:formatCode>General</c:formatCode>
                <c:ptCount val="9"/>
                <c:pt idx="0">
                  <c:v>0.1</c:v>
                </c:pt>
                <c:pt idx="1">
                  <c:v>0.2</c:v>
                </c:pt>
                <c:pt idx="2">
                  <c:v>0.30000000000000004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0.79999999999999993</c:v>
                </c:pt>
                <c:pt idx="8">
                  <c:v>0.89999999999999991</c:v>
                </c:pt>
              </c:numCache>
            </c:numRef>
          </c:cat>
          <c:val>
            <c:numRef>
              <c:f>summary!$D$2:$D$10</c:f>
              <c:numCache>
                <c:formatCode>0.00%</c:formatCode>
                <c:ptCount val="9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0.84499999999999997</c:v>
                </c:pt>
                <c:pt idx="5">
                  <c:v>0.7</c:v>
                </c:pt>
                <c:pt idx="6">
                  <c:v>0.46500000000000002</c:v>
                </c:pt>
                <c:pt idx="7">
                  <c:v>0.155</c:v>
                </c:pt>
                <c:pt idx="8">
                  <c:v>3.5000000000000003E-2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84C-AF4B-AB4F-6F964D468F5C}"/>
            </c:ext>
          </c:extLst>
        </c:ser>
        <c:ser>
          <c:idx val="1"/>
          <c:order val="1"/>
          <c:tx>
            <c:strRef>
              <c:f>summary!$F$1</c:f>
              <c:strCache>
                <c:ptCount val="1"/>
                <c:pt idx="0">
                  <c:v>Resilience of Tree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Pt>
            <c:idx val="7"/>
            <c:marker>
              <c:symbol val="circle"/>
              <c:size val="5"/>
              <c:spPr>
                <a:solidFill>
                  <a:srgbClr val="00B05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00B05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2-084C-AF4B-AB4F-6F964D468F5C}"/>
              </c:ext>
            </c:extLst>
          </c:dPt>
          <c:dPt>
            <c:idx val="9"/>
            <c:marker>
              <c:symbol val="circle"/>
              <c:size val="5"/>
              <c:spPr>
                <a:solidFill>
                  <a:srgbClr val="00B05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00B05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4-084C-AF4B-AB4F-6F964D468F5C}"/>
              </c:ext>
            </c:extLst>
          </c:dPt>
          <c:cat>
            <c:numRef>
              <c:f>summary!$G$2:$G$10</c:f>
              <c:numCache>
                <c:formatCode>General</c:formatCode>
                <c:ptCount val="9"/>
                <c:pt idx="0">
                  <c:v>0.1</c:v>
                </c:pt>
                <c:pt idx="1">
                  <c:v>0.2</c:v>
                </c:pt>
                <c:pt idx="2">
                  <c:v>0.30000000000000004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0.79999999999999993</c:v>
                </c:pt>
                <c:pt idx="8">
                  <c:v>0.89999999999999991</c:v>
                </c:pt>
              </c:numCache>
            </c:numRef>
          </c:cat>
          <c:val>
            <c:numRef>
              <c:f>summary!$F$2:$F$10</c:f>
              <c:numCache>
                <c:formatCode>0.00%</c:formatCode>
                <c:ptCount val="9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0.995</c:v>
                </c:pt>
                <c:pt idx="4">
                  <c:v>0.83</c:v>
                </c:pt>
                <c:pt idx="5">
                  <c:v>0.67500000000000004</c:v>
                </c:pt>
                <c:pt idx="6">
                  <c:v>0.41499999999999998</c:v>
                </c:pt>
                <c:pt idx="7">
                  <c:v>0.13</c:v>
                </c:pt>
                <c:pt idx="8">
                  <c:v>0.03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084C-AF4B-AB4F-6F964D468F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15445007"/>
        <c:axId val="2115446735"/>
      </c:lineChart>
      <c:catAx>
        <c:axId val="211544500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 sz="14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Failure Rate</a:t>
                </a:r>
                <a:endParaRPr lang="zh-CN" altLang="en-US" sz="1400" b="0" i="0" u="none" strike="noStrike" kern="1200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1000" b="0" i="0" u="none" strike="noStrike" kern="1200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115446735"/>
        <c:crosses val="autoZero"/>
        <c:auto val="1"/>
        <c:lblAlgn val="ctr"/>
        <c:lblOffset val="100"/>
        <c:noMultiLvlLbl val="0"/>
      </c:catAx>
      <c:valAx>
        <c:axId val="2115446735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 sz="1400"/>
                  <a:t>Resilience</a:t>
                </a:r>
                <a:endParaRPr lang="zh-CN" altLang="en-US" sz="14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115445007"/>
        <c:crosses val="autoZero"/>
        <c:crossBetween val="between"/>
        <c:majorUnit val="0.2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clustered-Cogentco</a:t>
            </a:r>
            <a:endParaRPr lang="zh-CN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summary!$B$1</c:f>
              <c:strCache>
                <c:ptCount val="1"/>
                <c:pt idx="0">
                  <c:v>Avg. Hops of EDP with Header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summary!$G$2:$G$10</c:f>
              <c:numCache>
                <c:formatCode>General</c:formatCode>
                <c:ptCount val="9"/>
                <c:pt idx="0">
                  <c:v>0.1</c:v>
                </c:pt>
                <c:pt idx="1">
                  <c:v>0.2</c:v>
                </c:pt>
                <c:pt idx="2">
                  <c:v>0.30000000000000004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0.79999999999999993</c:v>
                </c:pt>
                <c:pt idx="8">
                  <c:v>0.89999999999999991</c:v>
                </c:pt>
              </c:numCache>
            </c:numRef>
          </c:cat>
          <c:val>
            <c:numRef>
              <c:f>summary!$B$2:$B$10</c:f>
              <c:numCache>
                <c:formatCode>General</c:formatCode>
                <c:ptCount val="9"/>
                <c:pt idx="0">
                  <c:v>10.295</c:v>
                </c:pt>
                <c:pt idx="1">
                  <c:v>10.6</c:v>
                </c:pt>
                <c:pt idx="2">
                  <c:v>10.355</c:v>
                </c:pt>
                <c:pt idx="3">
                  <c:v>11.525</c:v>
                </c:pt>
                <c:pt idx="4">
                  <c:v>13.597560975609699</c:v>
                </c:pt>
                <c:pt idx="5">
                  <c:v>16.0802919708029</c:v>
                </c:pt>
                <c:pt idx="6">
                  <c:v>17.975000000000001</c:v>
                </c:pt>
                <c:pt idx="7">
                  <c:v>23.6666666666666</c:v>
                </c:pt>
                <c:pt idx="8">
                  <c:v>17.1666666666666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32A-6F4A-A6B4-916F3FA54670}"/>
            </c:ext>
          </c:extLst>
        </c:ser>
        <c:ser>
          <c:idx val="1"/>
          <c:order val="1"/>
          <c:tx>
            <c:strRef>
              <c:f>summary!$C$1</c:f>
              <c:strCache>
                <c:ptCount val="1"/>
                <c:pt idx="0">
                  <c:v>Avg. Hops of MutipleTree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summary!$G$2:$G$10</c:f>
              <c:numCache>
                <c:formatCode>General</c:formatCode>
                <c:ptCount val="9"/>
                <c:pt idx="0">
                  <c:v>0.1</c:v>
                </c:pt>
                <c:pt idx="1">
                  <c:v>0.2</c:v>
                </c:pt>
                <c:pt idx="2">
                  <c:v>0.30000000000000004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0.79999999999999993</c:v>
                </c:pt>
                <c:pt idx="8">
                  <c:v>0.89999999999999991</c:v>
                </c:pt>
              </c:numCache>
            </c:numRef>
          </c:cat>
          <c:val>
            <c:numRef>
              <c:f>summary!$C$2:$C$10</c:f>
              <c:numCache>
                <c:formatCode>General</c:formatCode>
                <c:ptCount val="9"/>
                <c:pt idx="0">
                  <c:v>10.845000000000001</c:v>
                </c:pt>
                <c:pt idx="1">
                  <c:v>11.234999999999999</c:v>
                </c:pt>
                <c:pt idx="2">
                  <c:v>10.945</c:v>
                </c:pt>
                <c:pt idx="3">
                  <c:v>13.658291457286399</c:v>
                </c:pt>
                <c:pt idx="4">
                  <c:v>18.777108433734899</c:v>
                </c:pt>
                <c:pt idx="5">
                  <c:v>22.637037037037</c:v>
                </c:pt>
                <c:pt idx="6">
                  <c:v>22.421686746987898</c:v>
                </c:pt>
                <c:pt idx="7">
                  <c:v>25.038461538461501</c:v>
                </c:pt>
                <c:pt idx="8">
                  <c:v>31.6666666666666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32A-6F4A-A6B4-916F3FA546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15445007"/>
        <c:axId val="2115446735"/>
      </c:lineChart>
      <c:catAx>
        <c:axId val="211544500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 sz="1400"/>
                  <a:t>Failure</a:t>
                </a:r>
                <a:r>
                  <a:rPr lang="en-US" altLang="zh-CN" sz="1400" baseline="0"/>
                  <a:t> Rate</a:t>
                </a:r>
                <a:endParaRPr lang="zh-CN" altLang="en-US" sz="14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115446735"/>
        <c:crosses val="autoZero"/>
        <c:auto val="1"/>
        <c:lblAlgn val="ctr"/>
        <c:lblOffset val="100"/>
        <c:noMultiLvlLbl val="0"/>
      </c:catAx>
      <c:valAx>
        <c:axId val="2115446735"/>
        <c:scaling>
          <c:orientation val="minMax"/>
          <c:max val="35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 sz="1400"/>
                  <a:t>Avg.</a:t>
                </a:r>
                <a:r>
                  <a:rPr lang="en-US" altLang="zh-CN" sz="1400" baseline="0"/>
                  <a:t> Hops</a:t>
                </a:r>
                <a:endParaRPr lang="zh-CN" altLang="en-US" sz="14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115445007"/>
        <c:crosses val="autoZero"/>
        <c:crossBetween val="between"/>
        <c:majorUnit val="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clustered-Cogentco</a:t>
            </a:r>
            <a:endParaRPr lang="zh-CN" altLang="en-US"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summary!$E$1</c:f>
              <c:strCache>
                <c:ptCount val="1"/>
                <c:pt idx="0">
                  <c:v>Resilience of EDP with Header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summary!$G$2:$G$10</c:f>
              <c:numCache>
                <c:formatCode>General</c:formatCode>
                <c:ptCount val="9"/>
                <c:pt idx="0">
                  <c:v>0.1</c:v>
                </c:pt>
                <c:pt idx="1">
                  <c:v>0.2</c:v>
                </c:pt>
                <c:pt idx="2">
                  <c:v>0.30000000000000004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0.79999999999999993</c:v>
                </c:pt>
                <c:pt idx="8">
                  <c:v>0.89999999999999991</c:v>
                </c:pt>
              </c:numCache>
            </c:numRef>
          </c:cat>
          <c:val>
            <c:numRef>
              <c:f>summary!$E$2:$E$10</c:f>
              <c:numCache>
                <c:formatCode>0.00%</c:formatCode>
                <c:ptCount val="9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0.82</c:v>
                </c:pt>
                <c:pt idx="5">
                  <c:v>0.68500000000000005</c:v>
                </c:pt>
                <c:pt idx="6">
                  <c:v>0.4</c:v>
                </c:pt>
                <c:pt idx="7">
                  <c:v>0.13500000000000001</c:v>
                </c:pt>
                <c:pt idx="8">
                  <c:v>0.03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EF9-F94F-8BDB-90E65D6E3C0E}"/>
            </c:ext>
          </c:extLst>
        </c:ser>
        <c:ser>
          <c:idx val="1"/>
          <c:order val="1"/>
          <c:tx>
            <c:strRef>
              <c:f>summary!$F$1</c:f>
              <c:strCache>
                <c:ptCount val="1"/>
                <c:pt idx="0">
                  <c:v>Resilience of Tree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summary!$G$2:$G$10</c:f>
              <c:numCache>
                <c:formatCode>General</c:formatCode>
                <c:ptCount val="9"/>
                <c:pt idx="0">
                  <c:v>0.1</c:v>
                </c:pt>
                <c:pt idx="1">
                  <c:v>0.2</c:v>
                </c:pt>
                <c:pt idx="2">
                  <c:v>0.30000000000000004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0.79999999999999993</c:v>
                </c:pt>
                <c:pt idx="8">
                  <c:v>0.89999999999999991</c:v>
                </c:pt>
              </c:numCache>
            </c:numRef>
          </c:cat>
          <c:val>
            <c:numRef>
              <c:f>summary!$F$2:$F$10</c:f>
              <c:numCache>
                <c:formatCode>0.00%</c:formatCode>
                <c:ptCount val="9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0.995</c:v>
                </c:pt>
                <c:pt idx="4">
                  <c:v>0.83</c:v>
                </c:pt>
                <c:pt idx="5">
                  <c:v>0.67500000000000004</c:v>
                </c:pt>
                <c:pt idx="6">
                  <c:v>0.41499999999999998</c:v>
                </c:pt>
                <c:pt idx="7">
                  <c:v>0.13</c:v>
                </c:pt>
                <c:pt idx="8">
                  <c:v>0.03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EF9-F94F-8BDB-90E65D6E3C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15445007"/>
        <c:axId val="2115446735"/>
      </c:lineChart>
      <c:catAx>
        <c:axId val="211544500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 sz="14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Failure Rate</a:t>
                </a:r>
                <a:endParaRPr lang="zh-CN" altLang="en-US" sz="1400" b="0" i="0" u="none" strike="noStrike" kern="1200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1000" b="0" i="0" u="none" strike="noStrike" kern="1200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115446735"/>
        <c:crosses val="autoZero"/>
        <c:auto val="1"/>
        <c:lblAlgn val="ctr"/>
        <c:lblOffset val="100"/>
        <c:noMultiLvlLbl val="0"/>
      </c:catAx>
      <c:valAx>
        <c:axId val="2115446735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 sz="1400"/>
                  <a:t>Resilience</a:t>
                </a:r>
                <a:endParaRPr lang="zh-CN" altLang="en-US" sz="14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11544500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_xlchart.v1.2</cx:f>
      </cx:numDim>
    </cx:data>
    <cx:data id="1">
      <cx:numDim type="val">
        <cx:f>_xlchart.v1.4</cx:f>
      </cx:numDim>
    </cx:data>
  </cx:chartData>
  <cx:chart>
    <cx:title pos="t" align="ctr" overlay="0">
      <cx:tx>
        <cx:txData>
          <cx:v>clustered-Cogentco</cx:v>
        </cx:txData>
      </cx:tx>
      <cx:txPr>
        <a:bodyPr spcFirstLastPara="1" vertOverflow="ellipsis" horzOverflow="overflow" wrap="square" lIns="0" tIns="0" rIns="0" bIns="0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effectLst/>
              <a:latin typeface="Calibri" panose="020F0502020204030204"/>
              <a:ea typeface="等线" panose="02010600030101010101" pitchFamily="2" charset="-122"/>
              <a:cs typeface="Calibri" panose="020F0502020204030204" pitchFamily="34" charset="0"/>
            </a:rPr>
            <a:t>clustered-Cogentco</a:t>
          </a:r>
        </a:p>
      </cx:txPr>
    </cx:title>
    <cx:plotArea>
      <cx:plotAreaRegion>
        <cx:series layoutId="boxWhisker" uniqueId="{ED791F06-8233-6C40-B30D-12E0D3828FAF}">
          <cx:tx>
            <cx:txData>
              <cx:f>_xlchart.v1.1</cx:f>
              <cx:v>Avg. Hops of Tree with Header</cx:v>
            </cx:txData>
          </cx:tx>
          <cx:spPr>
            <a:solidFill>
              <a:srgbClr val="0070C0"/>
            </a:solidFill>
          </cx:spPr>
          <cx:dataId val="0"/>
          <cx:layoutPr>
            <cx:visibility meanLine="0" meanMarker="1" nonoutliers="0" outliers="1"/>
            <cx:statistics quartileMethod="exclusive"/>
          </cx:layoutPr>
        </cx:series>
        <cx:series layoutId="boxWhisker" uniqueId="{BE672E1A-750F-5A49-9E79-3B3913A4546D}">
          <cx:tx>
            <cx:txData>
              <cx:f>_xlchart.v1.3</cx:f>
              <cx:v>Avg. Hops of MutipleTree</cx:v>
            </cx:txData>
          </cx:tx>
          <cx:spPr>
            <a:solidFill>
              <a:srgbClr val="00B050"/>
            </a:solidFill>
          </cx:spPr>
          <cx:dataId val="1"/>
          <cx:layoutPr>
            <cx:visibility meanLine="0" meanMarker="1" nonoutliers="0" outliers="1"/>
            <cx:statistics quartileMethod="exclusive"/>
          </cx:layoutPr>
        </cx:series>
      </cx:plotAreaRegion>
      <cx:axis id="0">
        <cx:catScaling gapWidth="1"/>
        <cx:tickLabels/>
      </cx:axis>
      <cx:axis id="1">
        <cx:valScaling min="2"/>
        <cx:title>
          <cx:tx>
            <cx:rich>
              <a:bodyPr spcFirstLastPara="1" vertOverflow="ellipsis" horzOverflow="overflow" wrap="square" lIns="0" tIns="0" rIns="0" bIns="0" anchor="ctr" anchorCtr="1"/>
              <a:lstStyle/>
              <a:p>
                <a:pPr algn="ctr" rtl="0">
                  <a:defRPr/>
                </a:pPr>
                <a:r>
                  <a:rPr lang="en-US" altLang="zh-CN" sz="1400" b="0" i="0" u="none" strike="noStrike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Calibri" panose="020F0502020204030204"/>
                    <a:ea typeface="等线" panose="02010600030101010101" pitchFamily="2" charset="-122"/>
                  </a:rPr>
                  <a:t>Avg. Hops</a:t>
                </a:r>
                <a:endParaRPr lang="zh-CN" altLang="en-US" sz="140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Calibri" panose="020F0502020204030204"/>
                  <a:ea typeface="等线" panose="02010600030101010101" pitchFamily="2" charset="-122"/>
                </a:endParaRPr>
              </a:p>
            </cx:rich>
          </cx:tx>
        </cx:title>
        <cx:majorGridlines/>
        <cx:tickLabels/>
      </cx:axis>
    </cx:plotArea>
    <cx:legend pos="b" align="ctr" overlay="0"/>
  </cx:chart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_xlchart.v1.0</cx:f>
      </cx:numDim>
    </cx:data>
  </cx:chartData>
  <cx:chart>
    <cx:title pos="t" align="ctr" overlay="0">
      <cx:tx>
        <cx:txData>
          <cx:v>clustered-Cogentco</cx:v>
        </cx:txData>
      </cx:tx>
      <cx:txPr>
        <a:bodyPr spcFirstLastPara="1" vertOverflow="ellipsis" horzOverflow="overflow" wrap="square" lIns="0" tIns="0" rIns="0" bIns="0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effectLst/>
              <a:latin typeface="Calibri" panose="020F0502020204030204"/>
              <a:ea typeface="等线" panose="02010600030101010101" pitchFamily="2" charset="-122"/>
              <a:cs typeface="Calibri" panose="020F0502020204030204" pitchFamily="34" charset="0"/>
            </a:rPr>
            <a:t>clustered-Cogentco</a:t>
          </a:r>
        </a:p>
      </cx:txPr>
    </cx:title>
    <cx:plotArea>
      <cx:plotAreaRegion>
        <cx:series layoutId="boxWhisker" uniqueId="{9D9C9224-0DAF-1C46-B7CF-98E3BAEF80C5}">
          <cx:dataId val="0"/>
          <cx:layoutPr>
            <cx:visibility nonoutliers="0"/>
            <cx:statistics quartileMethod="exclusive"/>
          </cx:layoutPr>
        </cx:series>
      </cx:plotAreaRegion>
      <cx:axis id="0">
        <cx:catScaling gapWidth="1"/>
        <cx:tickLabels/>
      </cx:axis>
      <cx:axis id="1">
        <cx:valScaling/>
        <cx:majorGridlines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microsoft.com/office/2014/relationships/chartEx" Target="../charts/chartEx1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4.xml"/><Relationship Id="rId5" Type="http://schemas.openxmlformats.org/officeDocument/2006/relationships/chart" Target="../charts/chart3.xml"/><Relationship Id="rId4" Type="http://schemas.microsoft.com/office/2014/relationships/chartEx" Target="../charts/chartEx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556945</xdr:colOff>
      <xdr:row>2</xdr:row>
      <xdr:rowOff>114300</xdr:rowOff>
    </xdr:from>
    <xdr:to>
      <xdr:col>15</xdr:col>
      <xdr:colOff>766495</xdr:colOff>
      <xdr:row>19</xdr:row>
      <xdr:rowOff>12700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AEC0732-75B8-E244-9F7D-30A490640A9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588695</xdr:colOff>
      <xdr:row>3</xdr:row>
      <xdr:rowOff>63500</xdr:rowOff>
    </xdr:from>
    <xdr:to>
      <xdr:col>22</xdr:col>
      <xdr:colOff>277545</xdr:colOff>
      <xdr:row>17</xdr:row>
      <xdr:rowOff>63500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D035480E-7622-1342-9058-F6A36D90806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292100</xdr:colOff>
      <xdr:row>12</xdr:row>
      <xdr:rowOff>164816</xdr:rowOff>
    </xdr:from>
    <xdr:to>
      <xdr:col>7</xdr:col>
      <xdr:colOff>93395</xdr:colOff>
      <xdr:row>26</xdr:row>
      <xdr:rowOff>152400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4" name="图表 3">
              <a:extLst>
                <a:ext uri="{FF2B5EF4-FFF2-40B4-BE49-F238E27FC236}">
                  <a16:creationId xmlns:a16="http://schemas.microsoft.com/office/drawing/2014/main" id="{0BC9D3DC-CB75-FD4B-997A-8231A18C42E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43100" y="2603216"/>
              <a:ext cx="3928795" cy="283238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zh-CN" altLang="en-US" sz="1100"/>
                <a:t>此图表在您的 Excel 版本中不可用。
编辑此形状或将此工作簿转换为其他文件格式将永久破坏图表。</a:t>
              </a:r>
            </a:p>
          </xdr:txBody>
        </xdr:sp>
      </mc:Fallback>
    </mc:AlternateContent>
    <xdr:clientData/>
  </xdr:twoCellAnchor>
  <xdr:twoCellAnchor>
    <xdr:from>
      <xdr:col>23</xdr:col>
      <xdr:colOff>163245</xdr:colOff>
      <xdr:row>3</xdr:row>
      <xdr:rowOff>107950</xdr:rowOff>
    </xdr:from>
    <xdr:to>
      <xdr:col>28</xdr:col>
      <xdr:colOff>607745</xdr:colOff>
      <xdr:row>17</xdr:row>
      <xdr:rowOff>6350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5" name="图表 4">
              <a:extLst>
                <a:ext uri="{FF2B5EF4-FFF2-40B4-BE49-F238E27FC236}">
                  <a16:creationId xmlns:a16="http://schemas.microsoft.com/office/drawing/2014/main" id="{ADC1DAD5-8B1C-D24B-B1E7-E8E32A2E10D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4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149745" y="717550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zh-CN" altLang="en-US" sz="1100"/>
                <a:t>此图表在您的 Excel 版本中不可用。
编辑此形状或将此工作簿转换为其他文件格式将永久破坏图表。</a:t>
              </a:r>
            </a:p>
          </xdr:txBody>
        </xdr:sp>
      </mc:Fallback>
    </mc:AlternateContent>
    <xdr:clientData/>
  </xdr:twoCellAnchor>
  <xdr:twoCellAnchor>
    <xdr:from>
      <xdr:col>8</xdr:col>
      <xdr:colOff>266700</xdr:colOff>
      <xdr:row>23</xdr:row>
      <xdr:rowOff>165101</xdr:rowOff>
    </xdr:from>
    <xdr:to>
      <xdr:col>15</xdr:col>
      <xdr:colOff>474109</xdr:colOff>
      <xdr:row>40</xdr:row>
      <xdr:rowOff>63500</xdr:rowOff>
    </xdr:to>
    <xdr:graphicFrame macro="">
      <xdr:nvGraphicFramePr>
        <xdr:cNvPr id="6" name="图表 5">
          <a:extLst>
            <a:ext uri="{FF2B5EF4-FFF2-40B4-BE49-F238E27FC236}">
              <a16:creationId xmlns:a16="http://schemas.microsoft.com/office/drawing/2014/main" id="{3D9D2828-A246-114B-A5B5-772D3F629CE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16</xdr:col>
      <xdr:colOff>208836</xdr:colOff>
      <xdr:row>21</xdr:row>
      <xdr:rowOff>12700</xdr:rowOff>
    </xdr:from>
    <xdr:to>
      <xdr:col>21</xdr:col>
      <xdr:colOff>723186</xdr:colOff>
      <xdr:row>35</xdr:row>
      <xdr:rowOff>12700</xdr:rowOff>
    </xdr:to>
    <xdr:graphicFrame macro="">
      <xdr:nvGraphicFramePr>
        <xdr:cNvPr id="7" name="图表 6">
          <a:extLst>
            <a:ext uri="{FF2B5EF4-FFF2-40B4-BE49-F238E27FC236}">
              <a16:creationId xmlns:a16="http://schemas.microsoft.com/office/drawing/2014/main" id="{D0440BA9-EDB9-9C43-899C-B40F5038DD4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H10"/>
  <sheetViews>
    <sheetView tabSelected="1" workbookViewId="0">
      <selection activeCell="W23" sqref="W23"/>
    </sheetView>
  </sheetViews>
  <sheetFormatPr baseColWidth="10" defaultRowHeight="16"/>
  <sheetData>
    <row r="1" spans="1:8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8">
      <c r="A2">
        <v>10.295</v>
      </c>
      <c r="B2">
        <v>10.295</v>
      </c>
      <c r="C2">
        <v>10.845000000000001</v>
      </c>
      <c r="D2" s="1">
        <v>1</v>
      </c>
      <c r="E2" s="1">
        <v>1</v>
      </c>
      <c r="F2" s="1">
        <v>1</v>
      </c>
      <c r="G2">
        <v>0.1</v>
      </c>
      <c r="H2" s="1">
        <f>D2-F2</f>
        <v>0</v>
      </c>
    </row>
    <row r="3" spans="1:8">
      <c r="A3">
        <v>10.64</v>
      </c>
      <c r="B3">
        <v>10.6</v>
      </c>
      <c r="C3">
        <v>11.234999999999999</v>
      </c>
      <c r="D3" s="1">
        <v>1</v>
      </c>
      <c r="E3" s="1">
        <v>1</v>
      </c>
      <c r="F3" s="1">
        <v>1</v>
      </c>
      <c r="G3">
        <f>G2+0.1</f>
        <v>0.2</v>
      </c>
      <c r="H3" s="1">
        <f t="shared" ref="H3:H10" si="0">D3-F3</f>
        <v>0</v>
      </c>
    </row>
    <row r="4" spans="1:8">
      <c r="A4">
        <v>10.355</v>
      </c>
      <c r="B4">
        <v>10.355</v>
      </c>
      <c r="C4">
        <v>10.945</v>
      </c>
      <c r="D4" s="1">
        <v>1</v>
      </c>
      <c r="E4" s="1">
        <v>1</v>
      </c>
      <c r="F4" s="1">
        <v>1</v>
      </c>
      <c r="G4">
        <f t="shared" ref="G4:G10" si="1">G3+0.1</f>
        <v>0.30000000000000004</v>
      </c>
      <c r="H4" s="1">
        <f t="shared" si="0"/>
        <v>0</v>
      </c>
    </row>
    <row r="5" spans="1:8">
      <c r="A5">
        <v>11.67</v>
      </c>
      <c r="B5">
        <v>11.525</v>
      </c>
      <c r="C5">
        <v>13.658291457286399</v>
      </c>
      <c r="D5" s="1">
        <v>1</v>
      </c>
      <c r="E5" s="1">
        <v>1</v>
      </c>
      <c r="F5" s="1">
        <v>0.995</v>
      </c>
      <c r="G5">
        <v>0.4</v>
      </c>
      <c r="H5" s="1">
        <f t="shared" si="0"/>
        <v>5.0000000000000044E-3</v>
      </c>
    </row>
    <row r="6" spans="1:8">
      <c r="A6">
        <v>14.4615384615384</v>
      </c>
      <c r="B6">
        <v>13.597560975609699</v>
      </c>
      <c r="C6">
        <v>18.777108433734899</v>
      </c>
      <c r="D6" s="1">
        <v>0.84499999999999997</v>
      </c>
      <c r="E6" s="1">
        <v>0.82</v>
      </c>
      <c r="F6" s="1">
        <v>0.83</v>
      </c>
      <c r="G6">
        <v>0.5</v>
      </c>
      <c r="H6" s="1">
        <f t="shared" si="0"/>
        <v>1.5000000000000013E-2</v>
      </c>
    </row>
    <row r="7" spans="1:8">
      <c r="A7">
        <v>15.9714285714285</v>
      </c>
      <c r="B7">
        <v>16.0802919708029</v>
      </c>
      <c r="C7">
        <v>22.637037037037</v>
      </c>
      <c r="D7" s="1">
        <v>0.7</v>
      </c>
      <c r="E7" s="1">
        <v>0.68500000000000005</v>
      </c>
      <c r="F7" s="1">
        <v>0.67500000000000004</v>
      </c>
      <c r="G7">
        <v>0.6</v>
      </c>
      <c r="H7" s="1">
        <f t="shared" si="0"/>
        <v>2.4999999999999911E-2</v>
      </c>
    </row>
    <row r="8" spans="1:8">
      <c r="A8">
        <v>35.827956989247298</v>
      </c>
      <c r="B8">
        <v>17.975000000000001</v>
      </c>
      <c r="C8">
        <v>22.421686746987898</v>
      </c>
      <c r="D8" s="1">
        <v>0.46500000000000002</v>
      </c>
      <c r="E8" s="1">
        <v>0.4</v>
      </c>
      <c r="F8" s="1">
        <v>0.41499999999999998</v>
      </c>
      <c r="G8">
        <v>0.7</v>
      </c>
      <c r="H8" s="1">
        <f t="shared" si="0"/>
        <v>5.0000000000000044E-2</v>
      </c>
    </row>
    <row r="9" spans="1:8">
      <c r="A9">
        <v>24.870967741935399</v>
      </c>
      <c r="B9">
        <v>23.6666666666666</v>
      </c>
      <c r="C9">
        <v>25.038461538461501</v>
      </c>
      <c r="D9" s="1">
        <v>0.155</v>
      </c>
      <c r="E9" s="1">
        <v>0.13500000000000001</v>
      </c>
      <c r="F9" s="1">
        <v>0.13</v>
      </c>
      <c r="G9">
        <f t="shared" si="1"/>
        <v>0.79999999999999993</v>
      </c>
      <c r="H9" s="1">
        <f t="shared" si="0"/>
        <v>2.4999999999999994E-2</v>
      </c>
    </row>
    <row r="10" spans="1:8">
      <c r="A10">
        <v>18</v>
      </c>
      <c r="B10">
        <v>17.1666666666666</v>
      </c>
      <c r="C10">
        <v>31.6666666666666</v>
      </c>
      <c r="D10" s="1">
        <v>3.5000000000000003E-2</v>
      </c>
      <c r="E10" s="1">
        <v>0.03</v>
      </c>
      <c r="F10" s="1">
        <v>0.03</v>
      </c>
      <c r="G10">
        <f t="shared" si="1"/>
        <v>0.89999999999999991</v>
      </c>
      <c r="H10" s="1">
        <f t="shared" si="0"/>
        <v>5.0000000000000044E-3</v>
      </c>
    </row>
  </sheetData>
  <phoneticPr fontId="18" type="noConversion"/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summary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Zihao Li</dc:creator>
  <cp:lastModifiedBy>Zihao Li</cp:lastModifiedBy>
  <dcterms:created xsi:type="dcterms:W3CDTF">2023-10-02T14:14:55Z</dcterms:created>
  <dcterms:modified xsi:type="dcterms:W3CDTF">2023-10-03T13:35:16Z</dcterms:modified>
</cp:coreProperties>
</file>